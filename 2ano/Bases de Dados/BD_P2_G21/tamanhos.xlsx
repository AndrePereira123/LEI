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0"/>
  <workbookPr/>
  <mc:AlternateContent xmlns:mc="http://schemas.openxmlformats.org/markup-compatibility/2006">
    <mc:Choice Requires="x15">
      <x15ac:absPath xmlns:x15ac="http://schemas.microsoft.com/office/spreadsheetml/2010/11/ac" url="C:\Users\leona\Desktop\BD\"/>
    </mc:Choice>
  </mc:AlternateContent>
  <xr:revisionPtr revIDLastSave="0" documentId="8_{C339CA93-7540-4D7D-8638-B7B4BC2C6737}" xr6:coauthVersionLast="47" xr6:coauthVersionMax="47" xr10:uidLastSave="{00000000-0000-0000-0000-000000000000}"/>
  <bookViews>
    <workbookView xWindow="0" yWindow="0" windowWidth="21570" windowHeight="8085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5" i="1" l="1"/>
  <c r="D155" i="1"/>
  <c r="E147" i="1"/>
  <c r="D147" i="1"/>
  <c r="E139" i="1"/>
  <c r="D139" i="1"/>
  <c r="E132" i="1"/>
  <c r="D132" i="1"/>
  <c r="E121" i="1"/>
  <c r="D121" i="1"/>
  <c r="E114" i="1"/>
  <c r="D114" i="1"/>
  <c r="E102" i="1"/>
  <c r="D102" i="1"/>
  <c r="E95" i="1"/>
  <c r="D95" i="1"/>
  <c r="E80" i="1"/>
  <c r="D80" i="1"/>
  <c r="E73" i="1"/>
  <c r="D73" i="1"/>
  <c r="E58" i="1"/>
  <c r="D58" i="1"/>
  <c r="E47" i="1"/>
  <c r="D47" i="1"/>
  <c r="E34" i="1"/>
  <c r="D34" i="1"/>
  <c r="E27" i="1"/>
  <c r="D27" i="1"/>
  <c r="E18" i="1"/>
  <c r="D18" i="1"/>
  <c r="E11" i="1"/>
  <c r="D11" i="1"/>
  <c r="K6" i="1" s="1"/>
  <c r="Q6" i="1" l="1"/>
  <c r="Q8" i="1"/>
  <c r="W8" i="1" s="1"/>
  <c r="L17" i="1" s="1"/>
  <c r="K23" i="1" s="1"/>
  <c r="K8" i="1"/>
  <c r="W6" i="1" l="1"/>
  <c r="L15" i="1" s="1"/>
  <c r="K21" i="1" s="1"/>
  <c r="L23" i="1"/>
  <c r="L21" i="1"/>
  <c r="M21" i="1" l="1"/>
  <c r="N21" i="1" s="1"/>
  <c r="O21" i="1" s="1"/>
  <c r="P21" i="1" s="1"/>
  <c r="Q21" i="1" s="1"/>
  <c r="R21" i="1" s="1"/>
  <c r="S21" i="1" s="1"/>
  <c r="T21" i="1" s="1"/>
  <c r="W21" i="1"/>
  <c r="M23" i="1"/>
  <c r="N23" i="1" s="1"/>
  <c r="O23" i="1" s="1"/>
  <c r="P23" i="1" s="1"/>
  <c r="Q23" i="1" s="1"/>
  <c r="R23" i="1" s="1"/>
  <c r="S23" i="1" s="1"/>
  <c r="T23" i="1" s="1"/>
  <c r="W23" i="1"/>
  <c r="Y22" i="1" s="1"/>
</calcChain>
</file>

<file path=xl/sharedStrings.xml><?xml version="1.0" encoding="utf-8"?>
<sst xmlns="http://schemas.openxmlformats.org/spreadsheetml/2006/main" count="261" uniqueCount="67">
  <si>
    <t>Cliente</t>
  </si>
  <si>
    <t>1 registo em cada tabela</t>
  </si>
  <si>
    <t>1 registo em cada tabela, retirando técnico e investigadores</t>
  </si>
  <si>
    <t>Por dia</t>
  </si>
  <si>
    <t>Atributos</t>
  </si>
  <si>
    <t>Tipo de dados</t>
  </si>
  <si>
    <t>Tamanho mín</t>
  </si>
  <si>
    <t>Tamanho máx</t>
  </si>
  <si>
    <t>Total min</t>
  </si>
  <si>
    <t>Id</t>
  </si>
  <si>
    <t>INT</t>
  </si>
  <si>
    <t>Nome</t>
  </si>
  <si>
    <t>VARCHAR(45)</t>
  </si>
  <si>
    <t>Total máx</t>
  </si>
  <si>
    <t>Sexo</t>
  </si>
  <si>
    <t>CHAR(1)</t>
  </si>
  <si>
    <t>Email</t>
  </si>
  <si>
    <t>Total</t>
  </si>
  <si>
    <t>Telefone_Cliente</t>
  </si>
  <si>
    <t>Tamanho no primeiro ano (bytes)</t>
  </si>
  <si>
    <t>Min</t>
  </si>
  <si>
    <t>Telefone</t>
  </si>
  <si>
    <t>Cliente_Id</t>
  </si>
  <si>
    <t>Max</t>
  </si>
  <si>
    <t>Ano</t>
  </si>
  <si>
    <t>GB</t>
  </si>
  <si>
    <t>Técnico</t>
  </si>
  <si>
    <t>Tamanho(GB):</t>
  </si>
  <si>
    <t>VARCHAR(75)</t>
  </si>
  <si>
    <t>Categoria</t>
  </si>
  <si>
    <t>Caso</t>
  </si>
  <si>
    <t>Estado</t>
  </si>
  <si>
    <t>Data_Início</t>
  </si>
  <si>
    <t>DATE</t>
  </si>
  <si>
    <t>Data_Fim</t>
  </si>
  <si>
    <t>Código_Postal</t>
  </si>
  <si>
    <t>Rua</t>
  </si>
  <si>
    <t>Categoria_Id</t>
  </si>
  <si>
    <t>Localidade_Id</t>
  </si>
  <si>
    <t>Denúncia</t>
  </si>
  <si>
    <t>Descrição</t>
  </si>
  <si>
    <t>TEXT</t>
  </si>
  <si>
    <t>Data</t>
  </si>
  <si>
    <t>Técnico_Id</t>
  </si>
  <si>
    <t>Caso_Id</t>
  </si>
  <si>
    <t>Suspeito</t>
  </si>
  <si>
    <t>Data_de_Nascimento</t>
  </si>
  <si>
    <t>Registo_Criminal</t>
  </si>
  <si>
    <t>Localidade</t>
  </si>
  <si>
    <t>Caso_tem_Suspeito</t>
  </si>
  <si>
    <t>Suspeito_Id</t>
  </si>
  <si>
    <t>Vítima</t>
  </si>
  <si>
    <t>Telefone_Vítima</t>
  </si>
  <si>
    <t>Vítima_Id</t>
  </si>
  <si>
    <t>Testemunha</t>
  </si>
  <si>
    <t>Testemunho</t>
  </si>
  <si>
    <t>Telefone_Testemunha</t>
  </si>
  <si>
    <t>Testemunha_Id</t>
  </si>
  <si>
    <t>Investigador</t>
  </si>
  <si>
    <t>Cargo</t>
  </si>
  <si>
    <t>Caso_tem_Investigador</t>
  </si>
  <si>
    <t>Investigador_Id</t>
  </si>
  <si>
    <t>Prova</t>
  </si>
  <si>
    <t>Fotografias</t>
  </si>
  <si>
    <t>Caminho</t>
  </si>
  <si>
    <t>VARCHAR(100)</t>
  </si>
  <si>
    <t>Prova_Id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</si>
</sst>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2" borderId="0" xfId="1" applyAlignment="1">
      <alignment horizontal="center"/>
    </xf>
    <xf numFmtId="0" fontId="2" fillId="3" borderId="0" xfId="2" applyAlignment="1">
      <alignment horizontal="center"/>
    </xf>
    <xf numFmtId="0" fontId="3" fillId="0" borderId="0" xfId="0" applyFont="1"/>
    <xf numFmtId="0" fontId="0" fillId="2" borderId="0" xfId="1" applyFont="1" applyAlignment="1">
      <alignment horizontal="center"/>
    </xf>
    <xf numFmtId="0" fontId="3" fillId="2" borderId="0" xfId="1" applyFont="1" applyAlignment="1">
      <alignment horizontal="center"/>
    </xf>
    <xf numFmtId="0" fontId="4" fillId="0" borderId="0" xfId="0" applyFont="1"/>
    <xf numFmtId="0" fontId="1" fillId="4" borderId="0" xfId="3" applyAlignment="1">
      <alignment horizontal="center"/>
    </xf>
    <xf numFmtId="0" fontId="1" fillId="10" borderId="0" xfId="9" applyAlignment="1">
      <alignment horizontal="center"/>
    </xf>
    <xf numFmtId="0" fontId="1" fillId="8" borderId="0" xfId="7" applyAlignment="1">
      <alignment horizontal="center"/>
    </xf>
    <xf numFmtId="0" fontId="0" fillId="0" borderId="0" xfId="0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6" borderId="0" xfId="5" applyAlignment="1">
      <alignment horizontal="center"/>
    </xf>
    <xf numFmtId="0" fontId="1" fillId="5" borderId="0" xfId="4" applyAlignment="1">
      <alignment horizontal="center"/>
    </xf>
    <xf numFmtId="0" fontId="1" fillId="7" borderId="0" xfId="6" applyAlignment="1">
      <alignment horizontal="center"/>
    </xf>
    <xf numFmtId="0" fontId="1" fillId="9" borderId="0" xfId="8" applyAlignment="1">
      <alignment horizontal="center"/>
    </xf>
    <xf numFmtId="0" fontId="1" fillId="11" borderId="0" xfId="10" applyAlignment="1">
      <alignment horizontal="center"/>
    </xf>
    <xf numFmtId="0" fontId="5" fillId="3" borderId="0" xfId="2" applyFont="1" applyAlignment="1">
      <alignment horizontal="center"/>
    </xf>
    <xf numFmtId="0" fontId="4" fillId="3" borderId="0" xfId="2" applyFont="1" applyAlignment="1">
      <alignment horizontal="center"/>
    </xf>
    <xf numFmtId="0" fontId="5" fillId="0" borderId="0" xfId="0" applyFont="1"/>
  </cellXfs>
  <cellStyles count="11">
    <cellStyle name="20% - Cor1" xfId="3" builtinId="30"/>
    <cellStyle name="20% - Cor2" xfId="5" builtinId="34"/>
    <cellStyle name="20% - Cor3" xfId="1" builtinId="38"/>
    <cellStyle name="20% - Cor4" xfId="7" builtinId="42"/>
    <cellStyle name="20% - Cor6" xfId="9" builtinId="50"/>
    <cellStyle name="40% - Cor1" xfId="4" builtinId="31"/>
    <cellStyle name="40% - Cor2" xfId="6" builtinId="35"/>
    <cellStyle name="40% - Cor3" xfId="2" builtinId="39"/>
    <cellStyle name="40% - Cor4" xfId="8" builtinId="43"/>
    <cellStyle name="40% - Cor6" xfId="10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AG155"/>
  <sheetViews>
    <sheetView tabSelected="1" topLeftCell="C1" workbookViewId="0">
      <selection activeCell="O17" sqref="O17"/>
    </sheetView>
  </sheetViews>
  <sheetFormatPr defaultRowHeight="15"/>
  <cols>
    <col min="2" max="2" width="21.5703125" customWidth="1"/>
    <col min="3" max="3" width="14.7109375" customWidth="1"/>
    <col min="4" max="4" width="16.85546875" customWidth="1"/>
    <col min="5" max="5" width="17.28515625" customWidth="1"/>
    <col min="8" max="9" width="6.42578125" customWidth="1"/>
    <col min="10" max="10" width="10.42578125" customWidth="1"/>
    <col min="11" max="11" width="10.28515625" customWidth="1"/>
    <col min="12" max="12" width="9.7109375" customWidth="1"/>
    <col min="18" max="18" width="10.140625" customWidth="1"/>
    <col min="19" max="19" width="9" customWidth="1"/>
    <col min="21" max="21" width="7.140625" customWidth="1"/>
    <col min="23" max="23" width="13" customWidth="1"/>
    <col min="24" max="24" width="12.85546875" customWidth="1"/>
    <col min="25" max="25" width="6.42578125" customWidth="1"/>
    <col min="26" max="29" width="12.5703125" bestFit="1" customWidth="1"/>
    <col min="30" max="30" width="12" bestFit="1" customWidth="1"/>
    <col min="31" max="31" width="12.5703125" bestFit="1" customWidth="1"/>
    <col min="32" max="32" width="12" bestFit="1" customWidth="1"/>
    <col min="34" max="34" width="9.28515625" bestFit="1" customWidth="1"/>
  </cols>
  <sheetData>
    <row r="5" spans="2:25">
      <c r="B5" s="4" t="s">
        <v>0</v>
      </c>
      <c r="J5" s="21" t="s">
        <v>1</v>
      </c>
      <c r="P5" s="7" t="s">
        <v>2</v>
      </c>
      <c r="W5" s="12" t="s">
        <v>3</v>
      </c>
    </row>
    <row r="6" spans="2:25">
      <c r="B6" s="3" t="s">
        <v>4</v>
      </c>
      <c r="C6" s="3" t="s">
        <v>5</v>
      </c>
      <c r="D6" s="3" t="s">
        <v>6</v>
      </c>
      <c r="E6" s="3" t="s">
        <v>7</v>
      </c>
      <c r="J6" s="4" t="s">
        <v>8</v>
      </c>
      <c r="K6">
        <f>SUM(D11,D18,D27,D34,D47,D58,D73,D80,D95,D102,D114,D121,D132,D139,D147,D155)</f>
        <v>1401</v>
      </c>
      <c r="P6" s="7" t="s">
        <v>8</v>
      </c>
      <c r="Q6">
        <f>SUM(D18,D11,D47,D58,3*D73,3*D80,1.5*D95,1.5*D102,2*D114,2*D121,2*D139,3.5*D147,5*D155)</f>
        <v>2424</v>
      </c>
      <c r="V6" s="7" t="s">
        <v>8</v>
      </c>
      <c r="W6" s="1">
        <f>Q6*3</f>
        <v>7272</v>
      </c>
    </row>
    <row r="7" spans="2:25">
      <c r="B7" s="2" t="s">
        <v>9</v>
      </c>
      <c r="C7" s="1" t="s">
        <v>10</v>
      </c>
      <c r="D7" s="1">
        <v>4</v>
      </c>
      <c r="E7" s="1">
        <v>4</v>
      </c>
      <c r="W7" s="1"/>
    </row>
    <row r="8" spans="2:25">
      <c r="B8" s="2" t="s">
        <v>11</v>
      </c>
      <c r="C8" s="1" t="s">
        <v>12</v>
      </c>
      <c r="D8" s="1">
        <v>46</v>
      </c>
      <c r="E8" s="1">
        <v>180</v>
      </c>
      <c r="J8" s="4" t="s">
        <v>13</v>
      </c>
      <c r="K8">
        <f>SUM(E11,E18,E27,E34,E47,E58,E73,E80,E95,E102,E114,E121,E132,E139,E147,E155)</f>
        <v>398203</v>
      </c>
      <c r="P8" s="4" t="s">
        <v>13</v>
      </c>
      <c r="Q8">
        <f>SUM(E11,E18,E47,E58,3*E73,3*E80,1.5*E95,1.5*E102,2*E114,2*E121,2*E139,3.5*E147,5*E155)</f>
        <v>926146.5</v>
      </c>
      <c r="V8" s="4" t="s">
        <v>13</v>
      </c>
      <c r="W8" s="1">
        <f>Q8*3</f>
        <v>2778439.5</v>
      </c>
    </row>
    <row r="9" spans="2:25">
      <c r="B9" s="2" t="s">
        <v>14</v>
      </c>
      <c r="C9" s="1" t="s">
        <v>15</v>
      </c>
      <c r="D9" s="1">
        <v>1</v>
      </c>
      <c r="E9" s="1">
        <v>4</v>
      </c>
    </row>
    <row r="10" spans="2:25">
      <c r="B10" s="2" t="s">
        <v>16</v>
      </c>
      <c r="C10" s="1" t="s">
        <v>12</v>
      </c>
      <c r="D10" s="1">
        <v>46</v>
      </c>
      <c r="E10" s="1">
        <v>180</v>
      </c>
    </row>
    <row r="11" spans="2:25">
      <c r="B11" s="6" t="s">
        <v>17</v>
      </c>
      <c r="D11" s="1">
        <f>SUM(D7:D10)</f>
        <v>97</v>
      </c>
      <c r="E11" s="1">
        <f>SUM(E7:E10)</f>
        <v>368</v>
      </c>
    </row>
    <row r="12" spans="2:25">
      <c r="U12" s="11"/>
      <c r="V12" s="1"/>
      <c r="W12" s="11"/>
      <c r="X12" s="1"/>
      <c r="Y12" s="11"/>
    </row>
    <row r="13" spans="2:25">
      <c r="U13" s="11"/>
      <c r="V13" s="1"/>
      <c r="W13" s="11"/>
      <c r="X13" s="1"/>
      <c r="Y13" s="11"/>
    </row>
    <row r="14" spans="2:25">
      <c r="B14" s="4" t="s">
        <v>18</v>
      </c>
      <c r="J14" s="1"/>
      <c r="K14" s="12" t="s">
        <v>19</v>
      </c>
      <c r="L14" s="1"/>
      <c r="U14" s="11"/>
      <c r="V14" s="1"/>
      <c r="W14" s="11"/>
      <c r="X14" s="1"/>
      <c r="Y14" s="11"/>
    </row>
    <row r="15" spans="2:25">
      <c r="B15" s="3" t="s">
        <v>4</v>
      </c>
      <c r="C15" s="3" t="s">
        <v>5</v>
      </c>
      <c r="D15" s="3" t="s">
        <v>6</v>
      </c>
      <c r="E15" s="3" t="s">
        <v>7</v>
      </c>
      <c r="J15" s="13" t="s">
        <v>20</v>
      </c>
      <c r="K15" s="1"/>
      <c r="L15" s="1">
        <f>W6*365</f>
        <v>2654280</v>
      </c>
      <c r="U15" s="11"/>
      <c r="V15" s="1"/>
      <c r="W15" s="11"/>
      <c r="X15" s="1"/>
      <c r="Y15" s="11"/>
    </row>
    <row r="16" spans="2:25">
      <c r="B16" s="2" t="s">
        <v>21</v>
      </c>
      <c r="C16" s="1" t="s">
        <v>10</v>
      </c>
      <c r="D16" s="1">
        <v>4</v>
      </c>
      <c r="E16" s="1">
        <v>4</v>
      </c>
      <c r="J16" s="13"/>
      <c r="K16" s="1"/>
      <c r="L16" s="1"/>
      <c r="S16" s="1"/>
      <c r="U16" s="11"/>
      <c r="V16" s="1"/>
      <c r="W16" s="11"/>
      <c r="X16" s="1"/>
      <c r="Y16" s="11"/>
    </row>
    <row r="17" spans="2:33">
      <c r="B17" s="2" t="s">
        <v>22</v>
      </c>
      <c r="C17" s="1" t="s">
        <v>10</v>
      </c>
      <c r="D17" s="1">
        <v>4</v>
      </c>
      <c r="E17" s="1">
        <v>4</v>
      </c>
      <c r="J17" s="13" t="s">
        <v>23</v>
      </c>
      <c r="K17" s="1"/>
      <c r="L17" s="1">
        <f>W8*365</f>
        <v>1014130417.5</v>
      </c>
      <c r="S17" s="1"/>
      <c r="U17" s="11"/>
      <c r="V17" s="1"/>
      <c r="W17" s="11"/>
      <c r="X17" s="1"/>
      <c r="Y17" s="11"/>
    </row>
    <row r="18" spans="2:33">
      <c r="B18" s="6" t="s">
        <v>17</v>
      </c>
      <c r="C18" s="1"/>
      <c r="D18" s="1">
        <f>SUM(D16:D17)</f>
        <v>8</v>
      </c>
      <c r="E18" s="1">
        <f>SUM(E16:E17)</f>
        <v>8</v>
      </c>
      <c r="S18" s="13"/>
      <c r="U18" s="11"/>
      <c r="V18" s="1"/>
      <c r="W18" s="11"/>
      <c r="X18" s="1"/>
      <c r="Y18" s="11"/>
    </row>
    <row r="19" spans="2:33">
      <c r="S19" s="1"/>
      <c r="U19" s="11"/>
      <c r="V19" s="1"/>
      <c r="W19" s="11"/>
      <c r="X19" s="1"/>
      <c r="Y19" s="11"/>
    </row>
    <row r="20" spans="2:33">
      <c r="J20" s="2" t="s">
        <v>24</v>
      </c>
      <c r="K20" s="8">
        <v>1</v>
      </c>
      <c r="L20" s="14">
        <v>2</v>
      </c>
      <c r="M20" s="10">
        <v>3</v>
      </c>
      <c r="N20" s="9">
        <v>4</v>
      </c>
      <c r="O20" s="8">
        <v>5</v>
      </c>
      <c r="P20" s="14">
        <v>6</v>
      </c>
      <c r="Q20" s="10">
        <v>7</v>
      </c>
      <c r="R20" s="9">
        <v>8</v>
      </c>
      <c r="S20" s="8">
        <v>9</v>
      </c>
      <c r="T20" s="14">
        <v>10</v>
      </c>
      <c r="U20" s="1"/>
      <c r="W20" s="2" t="s">
        <v>25</v>
      </c>
    </row>
    <row r="21" spans="2:33">
      <c r="B21" s="4" t="s">
        <v>26</v>
      </c>
      <c r="J21" s="19" t="s">
        <v>8</v>
      </c>
      <c r="K21" s="15">
        <f>L15</f>
        <v>2654280</v>
      </c>
      <c r="L21" s="16">
        <f>K21*1.05</f>
        <v>2786994</v>
      </c>
      <c r="M21" s="17">
        <f>L21*1.05</f>
        <v>2926343.7</v>
      </c>
      <c r="N21" s="18">
        <f t="shared" ref="N21:T21" si="0">M21*1.05</f>
        <v>3072660.8850000002</v>
      </c>
      <c r="O21" s="15">
        <f t="shared" si="0"/>
        <v>3226293.9292500005</v>
      </c>
      <c r="P21" s="16">
        <f t="shared" si="0"/>
        <v>3387608.6257125009</v>
      </c>
      <c r="Q21" s="17">
        <f t="shared" si="0"/>
        <v>3556989.0569981262</v>
      </c>
      <c r="R21" s="18">
        <f t="shared" si="0"/>
        <v>3734838.5098480326</v>
      </c>
      <c r="S21" s="15">
        <f t="shared" si="0"/>
        <v>3921580.4353404343</v>
      </c>
      <c r="T21" s="16">
        <f t="shared" si="0"/>
        <v>4117659.4571074564</v>
      </c>
      <c r="U21" s="1"/>
      <c r="V21" s="7" t="s">
        <v>8</v>
      </c>
      <c r="W21" s="3">
        <f>SUM(K21:T21)/1024/1024/1024</f>
        <v>3.109243567963741E-2</v>
      </c>
    </row>
    <row r="22" spans="2:33">
      <c r="B22" s="3" t="s">
        <v>4</v>
      </c>
      <c r="C22" s="3" t="s">
        <v>5</v>
      </c>
      <c r="D22" s="3" t="s">
        <v>6</v>
      </c>
      <c r="E22" s="3" t="s">
        <v>7</v>
      </c>
      <c r="J22" s="3"/>
      <c r="K22" s="15"/>
      <c r="L22" s="16"/>
      <c r="M22" s="17"/>
      <c r="N22" s="18"/>
      <c r="O22" s="15"/>
      <c r="P22" s="16"/>
      <c r="Q22" s="17"/>
      <c r="R22" s="18"/>
      <c r="S22" s="15"/>
      <c r="T22" s="16"/>
      <c r="U22" s="1"/>
      <c r="W22" s="3"/>
      <c r="X22" s="4" t="s">
        <v>27</v>
      </c>
      <c r="Y22">
        <f>0.25*W23</f>
        <v>2.9699000083716283</v>
      </c>
    </row>
    <row r="23" spans="2:33">
      <c r="B23" s="5" t="s">
        <v>9</v>
      </c>
      <c r="C23" s="1" t="s">
        <v>10</v>
      </c>
      <c r="D23" s="1">
        <v>4</v>
      </c>
      <c r="E23" s="1">
        <v>4</v>
      </c>
      <c r="J23" s="20" t="s">
        <v>13</v>
      </c>
      <c r="K23" s="15">
        <f>L17</f>
        <v>1014130417.5</v>
      </c>
      <c r="L23" s="16">
        <f>K23*1.05</f>
        <v>1064836938.375</v>
      </c>
      <c r="M23" s="17">
        <f t="shared" ref="M23:T23" si="1">L23*1.05</f>
        <v>1118078785.29375</v>
      </c>
      <c r="N23" s="18">
        <f t="shared" si="1"/>
        <v>1173982724.5584376</v>
      </c>
      <c r="O23" s="15">
        <f t="shared" si="1"/>
        <v>1232681860.7863595</v>
      </c>
      <c r="P23" s="16">
        <f t="shared" si="1"/>
        <v>1294315953.8256776</v>
      </c>
      <c r="Q23" s="17">
        <f t="shared" si="1"/>
        <v>1359031751.5169616</v>
      </c>
      <c r="R23" s="18">
        <f t="shared" si="1"/>
        <v>1426983339.0928097</v>
      </c>
      <c r="S23" s="15">
        <f t="shared" si="1"/>
        <v>1498332506.0474503</v>
      </c>
      <c r="T23" s="16">
        <f t="shared" si="1"/>
        <v>1573249131.349823</v>
      </c>
      <c r="U23" s="1"/>
      <c r="V23" s="7" t="s">
        <v>13</v>
      </c>
      <c r="W23" s="3">
        <f>SUM(K23:T23)/1024/1024/1024</f>
        <v>11.879600033486513</v>
      </c>
    </row>
    <row r="24" spans="2:33">
      <c r="B24" s="5" t="s">
        <v>11</v>
      </c>
      <c r="C24" s="1" t="s">
        <v>12</v>
      </c>
      <c r="D24" s="1">
        <v>46</v>
      </c>
      <c r="E24" s="1">
        <v>180</v>
      </c>
    </row>
    <row r="25" spans="2:33">
      <c r="B25" s="2" t="s">
        <v>16</v>
      </c>
      <c r="C25" s="1" t="s">
        <v>28</v>
      </c>
      <c r="D25" s="1">
        <v>76</v>
      </c>
      <c r="E25" s="1">
        <v>302</v>
      </c>
    </row>
    <row r="26" spans="2:33">
      <c r="B26" s="2" t="s">
        <v>21</v>
      </c>
      <c r="C26" s="1" t="s">
        <v>10</v>
      </c>
      <c r="D26" s="1">
        <v>4</v>
      </c>
      <c r="E26" s="1">
        <v>4</v>
      </c>
    </row>
    <row r="27" spans="2:33">
      <c r="B27" s="6" t="s">
        <v>17</v>
      </c>
      <c r="C27" s="1"/>
      <c r="D27" s="1">
        <f>SUM(D23:D26)</f>
        <v>130</v>
      </c>
      <c r="E27" s="1">
        <f>SUM(E23:E26)</f>
        <v>490</v>
      </c>
    </row>
    <row r="30" spans="2:33">
      <c r="B30" s="4" t="s">
        <v>29</v>
      </c>
    </row>
    <row r="31" spans="2:33">
      <c r="B31" s="3" t="s">
        <v>4</v>
      </c>
      <c r="C31" s="3" t="s">
        <v>5</v>
      </c>
      <c r="D31" s="3" t="s">
        <v>6</v>
      </c>
      <c r="E31" s="3" t="s">
        <v>7</v>
      </c>
    </row>
    <row r="32" spans="2:33">
      <c r="B32" s="2" t="s">
        <v>9</v>
      </c>
      <c r="C32" s="1" t="s">
        <v>10</v>
      </c>
      <c r="D32" s="1">
        <v>4</v>
      </c>
      <c r="E32" s="1">
        <v>4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2:33">
      <c r="B33" s="2" t="s">
        <v>11</v>
      </c>
      <c r="C33" s="1" t="s">
        <v>12</v>
      </c>
      <c r="D33" s="1">
        <v>46</v>
      </c>
      <c r="E33" s="1">
        <v>180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2:33">
      <c r="B34" s="6" t="s">
        <v>17</v>
      </c>
      <c r="C34" s="1"/>
      <c r="D34" s="1">
        <f>SUM(D32:D33)</f>
        <v>50</v>
      </c>
      <c r="E34" s="1">
        <f>SUM(E32:E33)</f>
        <v>184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2:33"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2:33"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2:33">
      <c r="B37" s="4" t="s">
        <v>30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2:33">
      <c r="B38" s="3" t="s">
        <v>4</v>
      </c>
      <c r="C38" s="3" t="s">
        <v>5</v>
      </c>
      <c r="D38" s="3" t="s">
        <v>6</v>
      </c>
      <c r="E38" s="3" t="s">
        <v>7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2:33">
      <c r="B39" s="2" t="s">
        <v>9</v>
      </c>
      <c r="C39" s="1" t="s">
        <v>10</v>
      </c>
      <c r="D39" s="1">
        <v>4</v>
      </c>
      <c r="E39" s="1">
        <v>4</v>
      </c>
    </row>
    <row r="40" spans="2:33">
      <c r="B40" s="2" t="s">
        <v>31</v>
      </c>
      <c r="C40" s="1" t="s">
        <v>15</v>
      </c>
      <c r="D40" s="1">
        <v>1</v>
      </c>
      <c r="E40" s="1">
        <v>4</v>
      </c>
    </row>
    <row r="41" spans="2:33">
      <c r="B41" s="2" t="s">
        <v>32</v>
      </c>
      <c r="C41" s="1" t="s">
        <v>33</v>
      </c>
      <c r="D41" s="1">
        <v>3</v>
      </c>
      <c r="E41" s="1">
        <v>3</v>
      </c>
    </row>
    <row r="42" spans="2:33">
      <c r="B42" s="2" t="s">
        <v>34</v>
      </c>
      <c r="C42" s="1" t="s">
        <v>33</v>
      </c>
      <c r="D42" s="1">
        <v>3</v>
      </c>
      <c r="E42" s="1">
        <v>3</v>
      </c>
    </row>
    <row r="43" spans="2:33">
      <c r="B43" s="2" t="s">
        <v>35</v>
      </c>
      <c r="C43" s="1" t="s">
        <v>10</v>
      </c>
      <c r="D43" s="1">
        <v>4</v>
      </c>
      <c r="E43" s="1">
        <v>4</v>
      </c>
    </row>
    <row r="44" spans="2:33">
      <c r="B44" s="2" t="s">
        <v>36</v>
      </c>
      <c r="C44" s="1" t="s">
        <v>28</v>
      </c>
      <c r="D44" s="1">
        <v>76</v>
      </c>
      <c r="E44" s="1">
        <v>302</v>
      </c>
    </row>
    <row r="45" spans="2:33">
      <c r="B45" s="2" t="s">
        <v>37</v>
      </c>
      <c r="C45" s="1" t="s">
        <v>10</v>
      </c>
      <c r="D45" s="1">
        <v>4</v>
      </c>
      <c r="E45" s="1">
        <v>4</v>
      </c>
    </row>
    <row r="46" spans="2:33">
      <c r="B46" s="2" t="s">
        <v>38</v>
      </c>
      <c r="C46" s="1" t="s">
        <v>10</v>
      </c>
      <c r="D46" s="1">
        <v>4</v>
      </c>
      <c r="E46" s="1">
        <v>4</v>
      </c>
    </row>
    <row r="47" spans="2:33">
      <c r="B47" s="6" t="s">
        <v>17</v>
      </c>
      <c r="C47" s="1"/>
      <c r="D47" s="1">
        <f>SUM(D39:D46)</f>
        <v>99</v>
      </c>
      <c r="E47" s="1">
        <f>SUM(E39:E46)</f>
        <v>328</v>
      </c>
    </row>
    <row r="50" spans="2:5">
      <c r="B50" s="4" t="s">
        <v>39</v>
      </c>
    </row>
    <row r="51" spans="2:5">
      <c r="B51" s="3" t="s">
        <v>4</v>
      </c>
      <c r="C51" s="3" t="s">
        <v>5</v>
      </c>
      <c r="D51" s="3" t="s">
        <v>6</v>
      </c>
      <c r="E51" s="3" t="s">
        <v>7</v>
      </c>
    </row>
    <row r="52" spans="2:5">
      <c r="B52" s="2" t="s">
        <v>9</v>
      </c>
      <c r="C52" s="1" t="s">
        <v>10</v>
      </c>
      <c r="D52" s="1">
        <v>4</v>
      </c>
      <c r="E52" s="1">
        <v>4</v>
      </c>
    </row>
    <row r="53" spans="2:5">
      <c r="B53" s="2" t="s">
        <v>40</v>
      </c>
      <c r="C53" s="1" t="s">
        <v>41</v>
      </c>
      <c r="D53" s="1">
        <v>3</v>
      </c>
      <c r="E53" s="1">
        <v>65537</v>
      </c>
    </row>
    <row r="54" spans="2:5">
      <c r="B54" s="2" t="s">
        <v>42</v>
      </c>
      <c r="C54" s="1" t="s">
        <v>33</v>
      </c>
      <c r="D54" s="1">
        <v>3</v>
      </c>
      <c r="E54" s="1">
        <v>3</v>
      </c>
    </row>
    <row r="55" spans="2:5">
      <c r="B55" s="2" t="s">
        <v>22</v>
      </c>
      <c r="C55" s="1" t="s">
        <v>10</v>
      </c>
      <c r="D55" s="1">
        <v>4</v>
      </c>
      <c r="E55" s="1">
        <v>4</v>
      </c>
    </row>
    <row r="56" spans="2:5">
      <c r="B56" s="2" t="s">
        <v>43</v>
      </c>
      <c r="C56" s="1" t="s">
        <v>10</v>
      </c>
      <c r="D56" s="1">
        <v>4</v>
      </c>
      <c r="E56" s="1">
        <v>4</v>
      </c>
    </row>
    <row r="57" spans="2:5">
      <c r="B57" s="2" t="s">
        <v>44</v>
      </c>
      <c r="C57" s="1" t="s">
        <v>10</v>
      </c>
      <c r="D57" s="1">
        <v>4</v>
      </c>
      <c r="E57" s="1">
        <v>4</v>
      </c>
    </row>
    <row r="58" spans="2:5">
      <c r="B58" s="6" t="s">
        <v>17</v>
      </c>
      <c r="C58" s="1"/>
      <c r="D58" s="1">
        <f>SUM(D52:D57)</f>
        <v>22</v>
      </c>
      <c r="E58" s="1">
        <f>SUM(E52:E57)</f>
        <v>65556</v>
      </c>
    </row>
    <row r="61" spans="2:5">
      <c r="B61" s="4" t="s">
        <v>45</v>
      </c>
    </row>
    <row r="62" spans="2:5">
      <c r="B62" s="3" t="s">
        <v>4</v>
      </c>
      <c r="C62" s="3" t="s">
        <v>5</v>
      </c>
      <c r="D62" s="3" t="s">
        <v>6</v>
      </c>
      <c r="E62" s="3" t="s">
        <v>7</v>
      </c>
    </row>
    <row r="63" spans="2:5">
      <c r="B63" s="2" t="s">
        <v>9</v>
      </c>
      <c r="C63" s="1" t="s">
        <v>10</v>
      </c>
      <c r="D63" s="1">
        <v>4</v>
      </c>
      <c r="E63" s="1">
        <v>4</v>
      </c>
    </row>
    <row r="64" spans="2:5">
      <c r="B64" s="2" t="s">
        <v>11</v>
      </c>
      <c r="C64" s="1" t="s">
        <v>12</v>
      </c>
      <c r="D64" s="1">
        <v>46</v>
      </c>
      <c r="E64" s="1">
        <v>180</v>
      </c>
    </row>
    <row r="65" spans="2:5">
      <c r="B65" s="2" t="s">
        <v>46</v>
      </c>
      <c r="C65" s="1" t="s">
        <v>33</v>
      </c>
      <c r="D65" s="1">
        <v>3</v>
      </c>
      <c r="E65" s="1">
        <v>3</v>
      </c>
    </row>
    <row r="66" spans="2:5">
      <c r="B66" s="2" t="s">
        <v>40</v>
      </c>
      <c r="C66" s="1" t="s">
        <v>41</v>
      </c>
      <c r="D66" s="1">
        <v>3</v>
      </c>
      <c r="E66" s="1">
        <v>65537</v>
      </c>
    </row>
    <row r="67" spans="2:5">
      <c r="B67" s="2" t="s">
        <v>14</v>
      </c>
      <c r="C67" s="1" t="s">
        <v>15</v>
      </c>
      <c r="D67" s="1">
        <v>1</v>
      </c>
      <c r="E67" s="1">
        <v>4</v>
      </c>
    </row>
    <row r="68" spans="2:5">
      <c r="B68" s="2" t="s">
        <v>47</v>
      </c>
      <c r="C68" s="1" t="s">
        <v>41</v>
      </c>
      <c r="D68" s="1">
        <v>3</v>
      </c>
      <c r="E68" s="1">
        <v>65537</v>
      </c>
    </row>
    <row r="69" spans="2:5">
      <c r="B69" s="2" t="s">
        <v>35</v>
      </c>
      <c r="C69" s="1" t="s">
        <v>10</v>
      </c>
      <c r="D69" s="1">
        <v>4</v>
      </c>
      <c r="E69" s="1">
        <v>4</v>
      </c>
    </row>
    <row r="70" spans="2:5">
      <c r="B70" s="2" t="s">
        <v>36</v>
      </c>
      <c r="C70" s="1" t="s">
        <v>28</v>
      </c>
      <c r="D70" s="1">
        <v>76</v>
      </c>
      <c r="E70" s="1">
        <v>302</v>
      </c>
    </row>
    <row r="71" spans="2:5">
      <c r="B71" s="2" t="s">
        <v>48</v>
      </c>
      <c r="C71" s="1" t="s">
        <v>12</v>
      </c>
      <c r="D71" s="1">
        <v>46</v>
      </c>
      <c r="E71" s="1">
        <v>180</v>
      </c>
    </row>
    <row r="72" spans="2:5">
      <c r="B72" s="2" t="s">
        <v>16</v>
      </c>
      <c r="C72" s="1" t="s">
        <v>28</v>
      </c>
      <c r="D72" s="1">
        <v>76</v>
      </c>
      <c r="E72" s="1">
        <v>302</v>
      </c>
    </row>
    <row r="73" spans="2:5">
      <c r="B73" s="6" t="s">
        <v>17</v>
      </c>
      <c r="C73" s="1"/>
      <c r="D73" s="1">
        <f>SUM(D63:D72)</f>
        <v>262</v>
      </c>
      <c r="E73" s="1">
        <f>SUM(E63:E72)</f>
        <v>132053</v>
      </c>
    </row>
    <row r="76" spans="2:5">
      <c r="B76" s="4" t="s">
        <v>49</v>
      </c>
    </row>
    <row r="77" spans="2:5">
      <c r="B77" s="3" t="s">
        <v>4</v>
      </c>
      <c r="C77" s="3" t="s">
        <v>5</v>
      </c>
      <c r="D77" s="3" t="s">
        <v>6</v>
      </c>
      <c r="E77" s="3" t="s">
        <v>7</v>
      </c>
    </row>
    <row r="78" spans="2:5">
      <c r="B78" s="2" t="s">
        <v>44</v>
      </c>
      <c r="C78" s="1" t="s">
        <v>10</v>
      </c>
      <c r="D78" s="1">
        <v>4</v>
      </c>
      <c r="E78" s="1">
        <v>4</v>
      </c>
    </row>
    <row r="79" spans="2:5">
      <c r="B79" s="2" t="s">
        <v>50</v>
      </c>
      <c r="C79" s="1" t="s">
        <v>10</v>
      </c>
      <c r="D79" s="1">
        <v>4</v>
      </c>
      <c r="E79" s="1">
        <v>4</v>
      </c>
    </row>
    <row r="80" spans="2:5">
      <c r="B80" s="6" t="s">
        <v>17</v>
      </c>
      <c r="C80" s="1"/>
      <c r="D80" s="1">
        <f>SUM(D78:D79)</f>
        <v>8</v>
      </c>
      <c r="E80" s="1">
        <f>SUM(E78:E79)</f>
        <v>8</v>
      </c>
    </row>
    <row r="83" spans="2:5">
      <c r="B83" s="4" t="s">
        <v>51</v>
      </c>
    </row>
    <row r="84" spans="2:5">
      <c r="B84" s="3" t="s">
        <v>4</v>
      </c>
      <c r="C84" s="3" t="s">
        <v>5</v>
      </c>
      <c r="D84" s="3" t="s">
        <v>6</v>
      </c>
      <c r="E84" s="3" t="s">
        <v>7</v>
      </c>
    </row>
    <row r="85" spans="2:5">
      <c r="B85" s="2" t="s">
        <v>9</v>
      </c>
      <c r="C85" s="1" t="s">
        <v>10</v>
      </c>
      <c r="D85" s="1">
        <v>4</v>
      </c>
      <c r="E85" s="1">
        <v>4</v>
      </c>
    </row>
    <row r="86" spans="2:5">
      <c r="B86" s="2" t="s">
        <v>11</v>
      </c>
      <c r="C86" s="1" t="s">
        <v>12</v>
      </c>
      <c r="D86" s="1">
        <v>46</v>
      </c>
      <c r="E86" s="1">
        <v>180</v>
      </c>
    </row>
    <row r="87" spans="2:5">
      <c r="B87" s="2" t="s">
        <v>46</v>
      </c>
      <c r="C87" s="1" t="s">
        <v>33</v>
      </c>
      <c r="D87" s="1">
        <v>3</v>
      </c>
      <c r="E87" s="1">
        <v>3</v>
      </c>
    </row>
    <row r="88" spans="2:5">
      <c r="B88" s="2" t="s">
        <v>40</v>
      </c>
      <c r="C88" s="1" t="s">
        <v>41</v>
      </c>
      <c r="D88" s="1">
        <v>3</v>
      </c>
      <c r="E88" s="1">
        <v>65537</v>
      </c>
    </row>
    <row r="89" spans="2:5">
      <c r="B89" s="2" t="s">
        <v>14</v>
      </c>
      <c r="C89" s="1" t="s">
        <v>15</v>
      </c>
      <c r="D89" s="1">
        <v>1</v>
      </c>
      <c r="E89" s="1">
        <v>4</v>
      </c>
    </row>
    <row r="90" spans="2:5">
      <c r="B90" s="2" t="s">
        <v>35</v>
      </c>
      <c r="C90" s="1" t="s">
        <v>10</v>
      </c>
      <c r="D90" s="1">
        <v>4</v>
      </c>
      <c r="E90" s="1">
        <v>4</v>
      </c>
    </row>
    <row r="91" spans="2:5">
      <c r="B91" s="2" t="s">
        <v>36</v>
      </c>
      <c r="C91" s="1" t="s">
        <v>28</v>
      </c>
      <c r="D91" s="1">
        <v>76</v>
      </c>
      <c r="E91" s="1">
        <v>302</v>
      </c>
    </row>
    <row r="92" spans="2:5">
      <c r="B92" s="2" t="s">
        <v>48</v>
      </c>
      <c r="C92" s="1" t="s">
        <v>12</v>
      </c>
      <c r="D92" s="1">
        <v>46</v>
      </c>
      <c r="E92" s="1">
        <v>180</v>
      </c>
    </row>
    <row r="93" spans="2:5">
      <c r="B93" s="2" t="s">
        <v>16</v>
      </c>
      <c r="C93" s="1" t="s">
        <v>28</v>
      </c>
      <c r="D93" s="1">
        <v>76</v>
      </c>
      <c r="E93" s="1">
        <v>302</v>
      </c>
    </row>
    <row r="94" spans="2:5">
      <c r="B94" s="2" t="s">
        <v>44</v>
      </c>
      <c r="C94" s="1" t="s">
        <v>10</v>
      </c>
      <c r="D94" s="1">
        <v>4</v>
      </c>
      <c r="E94" s="1">
        <v>4</v>
      </c>
    </row>
    <row r="95" spans="2:5">
      <c r="B95" s="6" t="s">
        <v>17</v>
      </c>
      <c r="C95" s="1"/>
      <c r="D95" s="1">
        <f>SUM(D85:D94)</f>
        <v>263</v>
      </c>
      <c r="E95" s="1">
        <f>SUM(E85:E94)</f>
        <v>66520</v>
      </c>
    </row>
    <row r="98" spans="2:5">
      <c r="B98" s="4" t="s">
        <v>52</v>
      </c>
    </row>
    <row r="99" spans="2:5">
      <c r="B99" s="3" t="s">
        <v>4</v>
      </c>
      <c r="C99" s="3" t="s">
        <v>5</v>
      </c>
      <c r="D99" s="3" t="s">
        <v>6</v>
      </c>
      <c r="E99" s="3" t="s">
        <v>7</v>
      </c>
    </row>
    <row r="100" spans="2:5">
      <c r="B100" s="2" t="s">
        <v>21</v>
      </c>
      <c r="C100" s="1" t="s">
        <v>10</v>
      </c>
      <c r="D100" s="1">
        <v>4</v>
      </c>
      <c r="E100" s="1">
        <v>4</v>
      </c>
    </row>
    <row r="101" spans="2:5">
      <c r="B101" s="2" t="s">
        <v>53</v>
      </c>
      <c r="C101" s="1" t="s">
        <v>10</v>
      </c>
      <c r="D101" s="1">
        <v>4</v>
      </c>
      <c r="E101" s="1">
        <v>4</v>
      </c>
    </row>
    <row r="102" spans="2:5">
      <c r="B102" s="6" t="s">
        <v>17</v>
      </c>
      <c r="C102" s="1"/>
      <c r="D102" s="1">
        <f>SUM(D100:D101)</f>
        <v>8</v>
      </c>
      <c r="E102" s="1">
        <f>SUM(E100:E101)</f>
        <v>8</v>
      </c>
    </row>
    <row r="105" spans="2:5">
      <c r="B105" s="4" t="s">
        <v>54</v>
      </c>
    </row>
    <row r="106" spans="2:5">
      <c r="B106" s="3" t="s">
        <v>4</v>
      </c>
      <c r="C106" s="3" t="s">
        <v>5</v>
      </c>
      <c r="D106" s="3" t="s">
        <v>6</v>
      </c>
      <c r="E106" s="3" t="s">
        <v>7</v>
      </c>
    </row>
    <row r="107" spans="2:5">
      <c r="B107" s="2" t="s">
        <v>9</v>
      </c>
      <c r="C107" s="1" t="s">
        <v>10</v>
      </c>
      <c r="D107" s="1">
        <v>4</v>
      </c>
      <c r="E107" s="1">
        <v>4</v>
      </c>
    </row>
    <row r="108" spans="2:5">
      <c r="B108" s="2" t="s">
        <v>11</v>
      </c>
      <c r="C108" s="1" t="s">
        <v>12</v>
      </c>
      <c r="D108" s="1">
        <v>46</v>
      </c>
      <c r="E108" s="1">
        <v>180</v>
      </c>
    </row>
    <row r="109" spans="2:5">
      <c r="B109" s="2" t="s">
        <v>55</v>
      </c>
      <c r="C109" s="1" t="s">
        <v>41</v>
      </c>
      <c r="D109" s="1">
        <v>3</v>
      </c>
      <c r="E109" s="1">
        <v>65537</v>
      </c>
    </row>
    <row r="110" spans="2:5">
      <c r="B110" s="2" t="s">
        <v>35</v>
      </c>
      <c r="C110" s="1" t="s">
        <v>10</v>
      </c>
      <c r="D110" s="1">
        <v>4</v>
      </c>
      <c r="E110" s="1">
        <v>4</v>
      </c>
    </row>
    <row r="111" spans="2:5">
      <c r="B111" s="2" t="s">
        <v>36</v>
      </c>
      <c r="C111" s="1" t="s">
        <v>28</v>
      </c>
      <c r="D111" s="1">
        <v>76</v>
      </c>
      <c r="E111" s="1">
        <v>302</v>
      </c>
    </row>
    <row r="112" spans="2:5">
      <c r="B112" s="2" t="s">
        <v>48</v>
      </c>
      <c r="C112" s="1" t="s">
        <v>12</v>
      </c>
      <c r="D112" s="1">
        <v>46</v>
      </c>
      <c r="E112" s="1">
        <v>180</v>
      </c>
    </row>
    <row r="113" spans="2:5">
      <c r="B113" s="2" t="s">
        <v>44</v>
      </c>
      <c r="C113" s="1" t="s">
        <v>10</v>
      </c>
      <c r="D113" s="1">
        <v>4</v>
      </c>
      <c r="E113" s="1">
        <v>4</v>
      </c>
    </row>
    <row r="114" spans="2:5">
      <c r="B114" s="6" t="s">
        <v>17</v>
      </c>
      <c r="C114" s="1"/>
      <c r="D114" s="1">
        <f>SUM(D107:D113)</f>
        <v>183</v>
      </c>
      <c r="E114" s="1">
        <f>SUM(E107:E113)</f>
        <v>66211</v>
      </c>
    </row>
    <row r="117" spans="2:5">
      <c r="B117" s="4" t="s">
        <v>56</v>
      </c>
    </row>
    <row r="118" spans="2:5">
      <c r="B118" s="3" t="s">
        <v>4</v>
      </c>
      <c r="C118" s="3" t="s">
        <v>5</v>
      </c>
      <c r="D118" s="3" t="s">
        <v>6</v>
      </c>
      <c r="E118" s="3" t="s">
        <v>7</v>
      </c>
    </row>
    <row r="119" spans="2:5">
      <c r="B119" s="2" t="s">
        <v>21</v>
      </c>
      <c r="C119" s="1" t="s">
        <v>10</v>
      </c>
      <c r="D119" s="1">
        <v>4</v>
      </c>
      <c r="E119" s="1">
        <v>4</v>
      </c>
    </row>
    <row r="120" spans="2:5">
      <c r="B120" s="2" t="s">
        <v>57</v>
      </c>
      <c r="C120" s="1" t="s">
        <v>10</v>
      </c>
      <c r="D120" s="1">
        <v>4</v>
      </c>
      <c r="E120" s="1">
        <v>4</v>
      </c>
    </row>
    <row r="121" spans="2:5">
      <c r="B121" s="6" t="s">
        <v>17</v>
      </c>
      <c r="C121" s="1"/>
      <c r="D121" s="1">
        <f>SUM(D119:D120)</f>
        <v>8</v>
      </c>
      <c r="E121" s="1">
        <f>SUM(E119:E120)</f>
        <v>8</v>
      </c>
    </row>
    <row r="124" spans="2:5">
      <c r="B124" s="4" t="s">
        <v>58</v>
      </c>
    </row>
    <row r="125" spans="2:5">
      <c r="B125" s="3" t="s">
        <v>4</v>
      </c>
      <c r="C125" s="3" t="s">
        <v>5</v>
      </c>
      <c r="D125" s="3" t="s">
        <v>6</v>
      </c>
      <c r="E125" s="3" t="s">
        <v>7</v>
      </c>
    </row>
    <row r="126" spans="2:5">
      <c r="B126" s="2" t="s">
        <v>9</v>
      </c>
      <c r="C126" s="1" t="s">
        <v>10</v>
      </c>
      <c r="D126" s="1">
        <v>4</v>
      </c>
      <c r="E126" s="1">
        <v>4</v>
      </c>
    </row>
    <row r="127" spans="2:5">
      <c r="B127" s="2" t="s">
        <v>11</v>
      </c>
      <c r="C127" s="1" t="s">
        <v>12</v>
      </c>
      <c r="D127" s="1">
        <v>46</v>
      </c>
      <c r="E127" s="1">
        <v>180</v>
      </c>
    </row>
    <row r="128" spans="2:5">
      <c r="B128" s="2" t="s">
        <v>59</v>
      </c>
      <c r="C128" s="1" t="s">
        <v>15</v>
      </c>
      <c r="D128" s="1">
        <v>1</v>
      </c>
      <c r="E128" s="1">
        <v>4</v>
      </c>
    </row>
    <row r="129" spans="2:5">
      <c r="B129" s="2" t="s">
        <v>16</v>
      </c>
      <c r="C129" s="1" t="s">
        <v>28</v>
      </c>
      <c r="D129" s="1">
        <v>76</v>
      </c>
      <c r="E129" s="1">
        <v>302</v>
      </c>
    </row>
    <row r="130" spans="2:5">
      <c r="B130" s="2" t="s">
        <v>21</v>
      </c>
      <c r="C130" s="1" t="s">
        <v>10</v>
      </c>
      <c r="D130" s="1">
        <v>4</v>
      </c>
      <c r="E130" s="1">
        <v>4</v>
      </c>
    </row>
    <row r="131" spans="2:5">
      <c r="B131" s="2" t="s">
        <v>38</v>
      </c>
      <c r="C131" s="1" t="s">
        <v>10</v>
      </c>
      <c r="D131" s="1">
        <v>4</v>
      </c>
      <c r="E131" s="1">
        <v>4</v>
      </c>
    </row>
    <row r="132" spans="2:5">
      <c r="B132" s="6" t="s">
        <v>17</v>
      </c>
      <c r="C132" s="1"/>
      <c r="D132" s="1">
        <f>SUM(D126:D131)</f>
        <v>135</v>
      </c>
      <c r="E132" s="1">
        <f>SUM(E126:E131)</f>
        <v>498</v>
      </c>
    </row>
    <row r="135" spans="2:5">
      <c r="B135" s="4" t="s">
        <v>60</v>
      </c>
    </row>
    <row r="136" spans="2:5">
      <c r="B136" s="3" t="s">
        <v>4</v>
      </c>
      <c r="C136" s="3" t="s">
        <v>5</v>
      </c>
      <c r="D136" s="3" t="s">
        <v>6</v>
      </c>
      <c r="E136" s="3" t="s">
        <v>7</v>
      </c>
    </row>
    <row r="137" spans="2:5">
      <c r="B137" s="2" t="s">
        <v>44</v>
      </c>
      <c r="C137" s="1" t="s">
        <v>10</v>
      </c>
      <c r="D137" s="1">
        <v>4</v>
      </c>
      <c r="E137" s="1">
        <v>4</v>
      </c>
    </row>
    <row r="138" spans="2:5">
      <c r="B138" s="2" t="s">
        <v>61</v>
      </c>
      <c r="C138" s="1" t="s">
        <v>10</v>
      </c>
      <c r="D138" s="1">
        <v>4</v>
      </c>
      <c r="E138" s="1">
        <v>4</v>
      </c>
    </row>
    <row r="139" spans="2:5">
      <c r="B139" s="6" t="s">
        <v>17</v>
      </c>
      <c r="C139" s="1"/>
      <c r="D139" s="1">
        <f>SUM(D137:D138)</f>
        <v>8</v>
      </c>
      <c r="E139" s="1">
        <f>SUM(E137:E138)</f>
        <v>8</v>
      </c>
    </row>
    <row r="142" spans="2:5">
      <c r="B142" s="4" t="s">
        <v>62</v>
      </c>
    </row>
    <row r="143" spans="2:5">
      <c r="B143" s="3" t="s">
        <v>4</v>
      </c>
      <c r="C143" s="3" t="s">
        <v>5</v>
      </c>
      <c r="D143" s="3" t="s">
        <v>6</v>
      </c>
      <c r="E143" s="3" t="s">
        <v>7</v>
      </c>
    </row>
    <row r="144" spans="2:5">
      <c r="B144" s="2" t="s">
        <v>9</v>
      </c>
      <c r="C144" s="1" t="s">
        <v>10</v>
      </c>
      <c r="D144" s="1">
        <v>4</v>
      </c>
      <c r="E144" s="1">
        <v>4</v>
      </c>
    </row>
    <row r="145" spans="2:5">
      <c r="B145" s="2" t="s">
        <v>40</v>
      </c>
      <c r="C145" s="1" t="s">
        <v>41</v>
      </c>
      <c r="D145" s="1">
        <v>3</v>
      </c>
      <c r="E145" s="1">
        <v>65537</v>
      </c>
    </row>
    <row r="146" spans="2:5">
      <c r="B146" s="2" t="s">
        <v>44</v>
      </c>
      <c r="C146" s="1" t="s">
        <v>10</v>
      </c>
      <c r="D146" s="1">
        <v>4</v>
      </c>
      <c r="E146" s="1">
        <v>4</v>
      </c>
    </row>
    <row r="147" spans="2:5">
      <c r="B147" s="6" t="s">
        <v>17</v>
      </c>
      <c r="C147" s="1"/>
      <c r="D147" s="1">
        <f>SUM(D144:D146)</f>
        <v>11</v>
      </c>
      <c r="E147" s="1">
        <f>SUM(E144:E146)</f>
        <v>65545</v>
      </c>
    </row>
    <row r="150" spans="2:5">
      <c r="B150" s="4" t="s">
        <v>63</v>
      </c>
    </row>
    <row r="151" spans="2:5">
      <c r="B151" s="3" t="s">
        <v>4</v>
      </c>
      <c r="C151" s="3" t="s">
        <v>5</v>
      </c>
      <c r="D151" s="3" t="s">
        <v>6</v>
      </c>
      <c r="E151" s="3" t="s">
        <v>7</v>
      </c>
    </row>
    <row r="152" spans="2:5">
      <c r="B152" s="2" t="s">
        <v>9</v>
      </c>
      <c r="C152" s="1" t="s">
        <v>10</v>
      </c>
      <c r="D152" s="1">
        <v>4</v>
      </c>
      <c r="E152" s="1">
        <v>4</v>
      </c>
    </row>
    <row r="153" spans="2:5">
      <c r="B153" s="2" t="s">
        <v>64</v>
      </c>
      <c r="C153" s="1" t="s">
        <v>65</v>
      </c>
      <c r="D153" s="1">
        <v>101</v>
      </c>
      <c r="E153" s="1">
        <v>402</v>
      </c>
    </row>
    <row r="154" spans="2:5">
      <c r="B154" s="2" t="s">
        <v>66</v>
      </c>
      <c r="C154" s="1" t="s">
        <v>10</v>
      </c>
      <c r="D154" s="1">
        <v>4</v>
      </c>
      <c r="E154" s="1">
        <v>4</v>
      </c>
    </row>
    <row r="155" spans="2:5">
      <c r="B155" s="6" t="s">
        <v>17</v>
      </c>
      <c r="C155" s="1"/>
      <c r="D155" s="1">
        <f>SUM(D152:D154)</f>
        <v>109</v>
      </c>
      <c r="E155" s="1">
        <f>SUM(E152:E154)</f>
        <v>410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alves</dc:creator>
  <cp:keywords/>
  <dc:description/>
  <cp:lastModifiedBy/>
  <cp:revision/>
  <dcterms:created xsi:type="dcterms:W3CDTF">2024-05-25T16:31:07Z</dcterms:created>
  <dcterms:modified xsi:type="dcterms:W3CDTF">2024-05-27T15:53:03Z</dcterms:modified>
  <cp:category/>
  <cp:contentStatus/>
</cp:coreProperties>
</file>